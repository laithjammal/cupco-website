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0"/>
    <numFmt numFmtId="165" formatCode="$#,##0.00"/>
  </numFmts>
  <fonts count="6">
    <font>
      <name val="Calibri"/>
      <family val="2"/>
      <color theme="1"/>
      <sz val="11"/>
      <scheme val="minor"/>
    </font>
    <font>
      <b val="1"/>
      <sz val="14"/>
    </font>
    <font>
      <color rgb="000000FF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F3A2B"/>
      </patternFill>
    </fill>
    <fill>
      <patternFill patternType="solid">
        <fgColor rgb="00EE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9" fontId="2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3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3" fontId="2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3" customWidth="1" min="11" max="11"/>
    <col width="13" customWidth="1" min="12" max="12"/>
    <col width="70" customWidth="1" min="13" max="13"/>
  </cols>
  <sheetData>
    <row r="1">
      <c r="A1" s="1" t="inlineStr">
        <is>
          <t>Cup supplier comparison – Cupco</t>
        </is>
      </c>
    </row>
    <row r="2">
      <c r="A2" t="inlineStr">
        <is>
          <t>GST rate</t>
        </is>
      </c>
      <c r="B2" s="2" t="n">
        <v>0.1</v>
      </c>
      <c r="D2" t="inlineStr">
        <is>
          <t>Add bioSupply email freight? (1=yes, 0=no, delivery already included on quote)</t>
        </is>
      </c>
      <c r="I2" s="3" t="n">
        <v>0</v>
      </c>
    </row>
    <row r="4" ht="32" customHeight="1">
      <c r="A4" s="4" t="inlineStr">
        <is>
          <t>Supplier</t>
        </is>
      </c>
      <c r="B4" s="4" t="inlineStr">
        <is>
          <t>Size</t>
        </is>
      </c>
      <c r="C4" s="4" t="inlineStr">
        <is>
          <t>Qty</t>
        </is>
      </c>
      <c r="D4" s="4" t="inlineStr">
        <is>
          <t>Cup unit ex GST</t>
        </is>
      </c>
      <c r="E4" s="4" t="inlineStr">
        <is>
          <t>Lid unit ex GST</t>
        </is>
      </c>
      <c r="F4" s="4" t="inlineStr">
        <is>
          <t>Cups + lids ex GST</t>
        </is>
      </c>
      <c r="G4" s="4" t="inlineStr">
        <is>
          <t>Shipping ex GST</t>
        </is>
      </c>
      <c r="H4" s="4" t="inlineStr">
        <is>
          <t>Subtotal ex GST</t>
        </is>
      </c>
      <c r="I4" s="4" t="inlineStr">
        <is>
          <t>GST</t>
        </is>
      </c>
      <c r="J4" s="4" t="inlineStr">
        <is>
          <t>Total inc GST</t>
        </is>
      </c>
      <c r="K4" s="4" t="inlineStr">
        <is>
          <t>Cost / piece ex GST</t>
        </is>
      </c>
      <c r="L4" s="4" t="inlineStr">
        <is>
          <t>Cost / piece inc GST</t>
        </is>
      </c>
      <c r="M4" s="4" t="inlineStr">
        <is>
          <t>Notes</t>
        </is>
      </c>
    </row>
    <row r="5" ht="48" customHeight="1">
      <c r="A5" t="inlineStr">
        <is>
          <t>Vista Corporate</t>
        </is>
      </c>
      <c r="B5" t="inlineStr">
        <is>
          <t>8oz</t>
        </is>
      </c>
      <c r="C5" s="5" t="n">
        <v>30000</v>
      </c>
      <c r="D5" s="6">
        <f>10614/C5/(1+$B$2)</f>
        <v/>
      </c>
      <c r="E5" s="6" t="n">
        <v>0</v>
      </c>
      <c r="F5" s="7">
        <f>C5*(D5+E5)</f>
        <v/>
      </c>
      <c r="G5" s="7" t="n">
        <v>0</v>
      </c>
      <c r="H5" s="7">
        <f>F5+G5</f>
        <v/>
      </c>
      <c r="I5" s="7">
        <f>H5*$B$2</f>
        <v/>
      </c>
      <c r="J5" s="7">
        <f>H5+I5</f>
        <v/>
      </c>
      <c r="K5" s="6">
        <f>H5/C5</f>
        <v/>
      </c>
      <c r="L5" s="6">
        <f>J5/C5</f>
        <v/>
      </c>
      <c r="M5" s="8" t="inlineStr">
        <is>
          <t>Full colour print, white sip-thru lid. Quote total $10,614.00 inc GST; lid + standard delivery included. Quote dated 27/10/2026, valid 30 days.</t>
        </is>
      </c>
    </row>
    <row r="6" ht="48" customHeight="1">
      <c r="A6" s="9" t="inlineStr">
        <is>
          <t>bioSupply</t>
        </is>
      </c>
      <c r="B6" s="9" t="inlineStr">
        <is>
          <t>8oz</t>
        </is>
      </c>
      <c r="C6" s="10" t="n">
        <v>30000</v>
      </c>
      <c r="D6" s="11">
        <f>5447.27/C6</f>
        <v/>
      </c>
      <c r="E6" s="11">
        <f>494/10000</f>
        <v/>
      </c>
      <c r="F6" s="12">
        <f>C6*(D6+E6)</f>
        <v/>
      </c>
      <c r="G6" s="12">
        <f>$I$2*498.876</f>
        <v/>
      </c>
      <c r="H6" s="12">
        <f>F6+G6</f>
        <v/>
      </c>
      <c r="I6" s="12">
        <f>H6*$B$2</f>
        <v/>
      </c>
      <c r="J6" s="12">
        <f>H6+I6</f>
        <v/>
      </c>
      <c r="K6" s="11">
        <f>H6/C6</f>
        <v/>
      </c>
      <c r="L6" s="11">
        <f>J6/C6</f>
        <v/>
      </c>
      <c r="M6" s="8" t="inlineStr">
        <is>
          <t>CMYK front only, 80mm. Lid = stock 90mm lid at $494/10,000 (not priced per size on quote). Freight = TNT email figure, applied only if switch above = 1. Quote BQ-1181 valid to 25 Nov.</t>
        </is>
      </c>
    </row>
    <row r="7" ht="48" customHeight="1">
      <c r="A7" t="inlineStr">
        <is>
          <t>Vista Corporate</t>
        </is>
      </c>
      <c r="B7" t="inlineStr">
        <is>
          <t>12oz</t>
        </is>
      </c>
      <c r="C7" s="5" t="n">
        <v>50000</v>
      </c>
      <c r="D7" s="6">
        <f>18490/C7/(1+$B$2)</f>
        <v/>
      </c>
      <c r="E7" s="6" t="n">
        <v>0</v>
      </c>
      <c r="F7" s="7">
        <f>C7*(D7+E7)</f>
        <v/>
      </c>
      <c r="G7" s="7" t="n">
        <v>0</v>
      </c>
      <c r="H7" s="7">
        <f>F7+G7</f>
        <v/>
      </c>
      <c r="I7" s="7">
        <f>H7*$B$2</f>
        <v/>
      </c>
      <c r="J7" s="7">
        <f>H7+I7</f>
        <v/>
      </c>
      <c r="K7" s="6">
        <f>H7/C7</f>
        <v/>
      </c>
      <c r="L7" s="6">
        <f>J7/C7</f>
        <v/>
      </c>
      <c r="M7" s="8" t="inlineStr">
        <is>
          <t>Quote total $18,490.00 inc GST; lid + standard delivery included.</t>
        </is>
      </c>
    </row>
    <row r="8" ht="48" customHeight="1">
      <c r="A8" s="9" t="inlineStr">
        <is>
          <t>bioSupply</t>
        </is>
      </c>
      <c r="B8" s="9" t="inlineStr">
        <is>
          <t>12oz</t>
        </is>
      </c>
      <c r="C8" s="10" t="n">
        <v>50000</v>
      </c>
      <c r="D8" s="11">
        <f>9390.63/C8</f>
        <v/>
      </c>
      <c r="E8" s="11">
        <f>494/10000</f>
        <v/>
      </c>
      <c r="F8" s="12">
        <f>C8*(D8+E8)</f>
        <v/>
      </c>
      <c r="G8" s="12">
        <f>$I$2*981.72</f>
        <v/>
      </c>
      <c r="H8" s="12">
        <f>F8+G8</f>
        <v/>
      </c>
      <c r="I8" s="12">
        <f>H8*$B$2</f>
        <v/>
      </c>
      <c r="J8" s="12">
        <f>H8+I8</f>
        <v/>
      </c>
      <c r="K8" s="11">
        <f>H8/C8</f>
        <v/>
      </c>
      <c r="L8" s="11">
        <f>J8/C8</f>
        <v/>
      </c>
      <c r="M8" s="8" t="inlineStr">
        <is>
          <t>CMYK front only, 80mm. Lid and freight as above.</t>
        </is>
      </c>
    </row>
    <row r="9" ht="48" customHeight="1">
      <c r="A9" t="inlineStr">
        <is>
          <t>Vista Corporate</t>
        </is>
      </c>
      <c r="B9" t="inlineStr">
        <is>
          <t>16oz</t>
        </is>
      </c>
      <c r="C9" s="5" t="n">
        <v>20000</v>
      </c>
      <c r="D9" s="6">
        <f>7876/C9/(1+$B$2)</f>
        <v/>
      </c>
      <c r="E9" s="6" t="n">
        <v>0</v>
      </c>
      <c r="F9" s="7">
        <f>C9*(D9+E9)</f>
        <v/>
      </c>
      <c r="G9" s="7" t="n">
        <v>0</v>
      </c>
      <c r="H9" s="7">
        <f>F9+G9</f>
        <v/>
      </c>
      <c r="I9" s="7">
        <f>H9*$B$2</f>
        <v/>
      </c>
      <c r="J9" s="7">
        <f>H9+I9</f>
        <v/>
      </c>
      <c r="K9" s="6">
        <f>H9/C9</f>
        <v/>
      </c>
      <c r="L9" s="6">
        <f>J9/C9</f>
        <v/>
      </c>
      <c r="M9" s="8" t="inlineStr">
        <is>
          <t>Quote total $7,876.00 inc GST; lid + standard delivery included.</t>
        </is>
      </c>
    </row>
    <row r="10" ht="48" customHeight="1">
      <c r="A10" s="9" t="inlineStr">
        <is>
          <t>bioSupply</t>
        </is>
      </c>
      <c r="B10" s="9" t="inlineStr">
        <is>
          <t>16oz</t>
        </is>
      </c>
      <c r="C10" s="10" t="n">
        <v>10000</v>
      </c>
      <c r="D10" s="11">
        <f>2418/C10</f>
        <v/>
      </c>
      <c r="E10" s="11">
        <f>494/10000</f>
        <v/>
      </c>
      <c r="F10" s="12">
        <f>C10*(D10+E10)</f>
        <v/>
      </c>
      <c r="G10" s="12" t="n">
        <v>0</v>
      </c>
      <c r="H10" s="12">
        <f>F10+G10</f>
        <v/>
      </c>
      <c r="I10" s="12">
        <f>H10*$B$2</f>
        <v/>
      </c>
      <c r="J10" s="12">
        <f>H10+I10</f>
        <v/>
      </c>
      <c r="K10" s="11">
        <f>H10/C10</f>
        <v/>
      </c>
      <c r="L10" s="11">
        <f>J10/C10</f>
        <v/>
      </c>
      <c r="M10" s="8" t="inlineStr">
        <is>
          <t>Only 10,000 quoted (Vista is 20,000). Delivery included on quote; no TNT freight given for 16oz.</t>
        </is>
      </c>
    </row>
    <row r="12">
      <c r="A12" s="13" t="inlineStr">
        <is>
          <t>Cheapest per piece (inc GST)</t>
        </is>
      </c>
    </row>
    <row r="13">
      <c r="A13" s="13" t="inlineStr">
        <is>
          <t>Size</t>
        </is>
      </c>
      <c r="B13" s="13" t="inlineStr">
        <is>
          <t>Cheapest</t>
        </is>
      </c>
      <c r="C13" s="13" t="inlineStr">
        <is>
          <t>Cost / piece inc GST</t>
        </is>
      </c>
      <c r="D13" s="13" t="inlineStr">
        <is>
          <t>Saving vs other</t>
        </is>
      </c>
    </row>
    <row r="14">
      <c r="A14" t="inlineStr">
        <is>
          <t>8oz</t>
        </is>
      </c>
      <c r="B14">
        <f>IF(L5&lt;=L6,A5,A6)</f>
        <v/>
      </c>
      <c r="C14" s="6">
        <f>MIN(L5,L6)</f>
        <v/>
      </c>
      <c r="D14" s="6">
        <f>ABS(L5-L6)</f>
        <v/>
      </c>
    </row>
    <row r="15">
      <c r="A15" t="inlineStr">
        <is>
          <t>12oz</t>
        </is>
      </c>
      <c r="B15">
        <f>IF(L7&lt;=L8,A7,A8)</f>
        <v/>
      </c>
      <c r="C15" s="6">
        <f>MIN(L7,L8)</f>
        <v/>
      </c>
      <c r="D15" s="6">
        <f>ABS(L7-L8)</f>
        <v/>
      </c>
    </row>
    <row r="16">
      <c r="A16" t="inlineStr">
        <is>
          <t>16oz</t>
        </is>
      </c>
      <c r="B16">
        <f>IF(L9&lt;=L10,A9,A10)</f>
        <v/>
      </c>
      <c r="C16" s="6">
        <f>MIN(L9,L10)</f>
        <v/>
      </c>
      <c r="D16" s="6">
        <f>ABS(L9-L10)</f>
        <v/>
      </c>
    </row>
    <row r="18">
      <c r="A18" s="14" t="inlineStr">
        <is>
          <t>Blue = typed inputs; black = formulas. Cost per piece = one cup + one lid, delivered.</t>
        </is>
      </c>
    </row>
    <row r="19">
      <c r="A19" s="13" t="inlineStr">
        <is>
          <t>Check before ordering:</t>
        </is>
      </c>
    </row>
    <row r="20">
      <c r="A20" t="inlineStr">
        <is>
          <t>1. bioSupply quote says 'Delivery included' but the email lists separate TNT freight ($498.88 for 8oz/30k, $981.72 for 12oz/50k). Confirm which applies; flip the switch in I2 to see the freight-added price. Freight GST treatment is unknown (treated as ex GST).</t>
        </is>
      </c>
    </row>
    <row r="21">
      <c r="A21" t="inlineStr">
        <is>
          <t>2. bioSupply lids are 90mm, but the 8oz/12oz cups are 80mm. Confirm the right lid size and price. Only 10,000 lids are quoted; I priced all lids at the same rate.</t>
        </is>
      </c>
    </row>
    <row r="22">
      <c r="A22" t="inlineStr">
        <is>
          <t>3. Vista pallet/delivery is 'standard delivery to one location' and includes lids; bioSupply is pallet freight (1,386 kg) to one delivery point.</t>
        </is>
      </c>
    </row>
    <row r="23">
      <c r="A23" t="inlineStr">
        <is>
          <t>4. Vista prices are inc GST; bioSupply prices are ex GST. Both are shown on both bases here.</t>
        </is>
      </c>
    </row>
    <row r="24">
      <c r="A24" t="inlineStr">
        <is>
          <t>5. Print differs: Vista says 'Full Colour print', bioSupply 'CMYK Front Only'. Confirm print coverage is equivalent.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2026-10-29T00:31:53Z</dcterms:created>
  <dcterms:modified xmlns:dcterms="http://purl.org/dc/terms/" xmlns:xsi="http://www.w3.org/2001/XMLSchema-instance" xsi:type="dcterms:W3CDTF">2026-10-29T00:31:53Z</dcterms:modified>
</cp:coreProperties>
</file>